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tu9\Documents\【03】C\★刈り取り\"/>
    </mc:Choice>
  </mc:AlternateContent>
  <xr:revisionPtr revIDLastSave="0" documentId="13_ncr:1_{EB87C8A1-A701-4F8D-8A05-1844552BA54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Sheet1!$B$14:$U$14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L16" i="1"/>
  <c r="L15" i="1"/>
  <c r="P15" i="1"/>
</calcChain>
</file>

<file path=xl/sharedStrings.xml><?xml version="1.0" encoding="utf-8"?>
<sst xmlns="http://schemas.openxmlformats.org/spreadsheetml/2006/main" count="46" uniqueCount="35">
  <si>
    <t xml:space="preserve">
商品名</t>
    <phoneticPr fontId="1"/>
  </si>
  <si>
    <t>ポイント</t>
    <phoneticPr fontId="1"/>
  </si>
  <si>
    <t>【Amazon.co.jp限定】TP-Link WiFi ルーター 無線LAN WiFi6 AX1800 規格 1201 + 574Mbps WPA3 EasyMesh 対応 メーカー保証3年 Archer AX23V</t>
    <phoneticPr fontId="1"/>
  </si>
  <si>
    <t>ASIN</t>
    <phoneticPr fontId="1"/>
  </si>
  <si>
    <t>B0CDWRJ32Q</t>
    <phoneticPr fontId="1"/>
  </si>
  <si>
    <t>https://m.media-amazon.com/images/I/41h+GBl05wL._AC_UL320_.jpg</t>
    <phoneticPr fontId="1"/>
  </si>
  <si>
    <t>出品者数</t>
    <rPh sb="0" eb="4">
      <t>シュッピンシャスウ</t>
    </rPh>
    <phoneticPr fontId="1"/>
  </si>
  <si>
    <t>状態</t>
    <rPh sb="0" eb="2">
      <t>ジョウタイ</t>
    </rPh>
    <phoneticPr fontId="1"/>
  </si>
  <si>
    <t>中古品と新品</t>
    <phoneticPr fontId="1"/>
  </si>
  <si>
    <t>無料配送 4月23日 木曜日にお届け</t>
    <phoneticPr fontId="1"/>
  </si>
  <si>
    <t>発送情報</t>
    <rPh sb="0" eb="4">
      <t>ハッソウジョウホウ</t>
    </rPh>
    <phoneticPr fontId="1"/>
  </si>
  <si>
    <t>最新価格</t>
    <rPh sb="0" eb="2">
      <t>サイシン</t>
    </rPh>
    <rPh sb="2" eb="4">
      <t>カカク</t>
    </rPh>
    <phoneticPr fontId="1"/>
  </si>
  <si>
    <t>Keepaグラフ</t>
    <phoneticPr fontId="1"/>
  </si>
  <si>
    <t>商品写真</t>
    <rPh sb="0" eb="2">
      <t>ショウヒン</t>
    </rPh>
    <phoneticPr fontId="1"/>
  </si>
  <si>
    <t>監視価格グラフ（実質最新価格、他の出品価格、1日平均価格、7日平均価格、30日平均価格、90日平均、180日平均価格）</t>
    <rPh sb="0" eb="2">
      <t>カンシ</t>
    </rPh>
    <rPh sb="2" eb="4">
      <t>カカク</t>
    </rPh>
    <rPh sb="8" eb="10">
      <t>ジッシツ</t>
    </rPh>
    <rPh sb="10" eb="14">
      <t>サイシンカカク</t>
    </rPh>
    <rPh sb="15" eb="16">
      <t>ホカ</t>
    </rPh>
    <rPh sb="17" eb="19">
      <t>シュッピン</t>
    </rPh>
    <rPh sb="19" eb="21">
      <t>カカク</t>
    </rPh>
    <rPh sb="23" eb="24">
      <t>ニチ</t>
    </rPh>
    <rPh sb="24" eb="26">
      <t>ヘイキン</t>
    </rPh>
    <rPh sb="26" eb="28">
      <t>カカク</t>
    </rPh>
    <rPh sb="30" eb="31">
      <t>ニチ</t>
    </rPh>
    <rPh sb="31" eb="35">
      <t>ヘイキンカカク</t>
    </rPh>
    <rPh sb="38" eb="39">
      <t>ニチ</t>
    </rPh>
    <rPh sb="39" eb="41">
      <t>ヘイキン</t>
    </rPh>
    <rPh sb="41" eb="43">
      <t>カカク</t>
    </rPh>
    <rPh sb="46" eb="47">
      <t>ニチ</t>
    </rPh>
    <rPh sb="47" eb="49">
      <t>ヘイキン</t>
    </rPh>
    <rPh sb="53" eb="54">
      <t>ニチ</t>
    </rPh>
    <rPh sb="54" eb="56">
      <t>ヘイキン</t>
    </rPh>
    <rPh sb="56" eb="58">
      <t>カカク</t>
    </rPh>
    <phoneticPr fontId="1"/>
  </si>
  <si>
    <t>最新
実質質価格</t>
    <rPh sb="3" eb="5">
      <t>ジッシツ</t>
    </rPh>
    <rPh sb="5" eb="6">
      <t>シツ</t>
    </rPh>
    <rPh sb="6" eb="8">
      <t>カカク</t>
    </rPh>
    <phoneticPr fontId="1"/>
  </si>
  <si>
    <r>
      <t xml:space="preserve">\2000
</t>
    </r>
    <r>
      <rPr>
        <sz val="11"/>
        <color rgb="FF0000FF"/>
        <rFont val="游ゴシック"/>
        <family val="3"/>
        <charset val="128"/>
      </rPr>
      <t>(+100)</t>
    </r>
    <phoneticPr fontId="1"/>
  </si>
  <si>
    <t>1日平均
実質質価格
(最新実質価格に対する割合)</t>
    <rPh sb="5" eb="7">
      <t>ジッシツ</t>
    </rPh>
    <rPh sb="7" eb="8">
      <t>シツ</t>
    </rPh>
    <rPh sb="8" eb="10">
      <t>カカク</t>
    </rPh>
    <rPh sb="12" eb="14">
      <t>サイシン</t>
    </rPh>
    <rPh sb="14" eb="16">
      <t>ジッシツ</t>
    </rPh>
    <rPh sb="16" eb="18">
      <t>カカク</t>
    </rPh>
    <rPh sb="19" eb="20">
      <t>タイ</t>
    </rPh>
    <rPh sb="22" eb="24">
      <t>ワリアイ</t>
    </rPh>
    <phoneticPr fontId="1"/>
  </si>
  <si>
    <t>7日平均
実質質価格
(最新実質価格に対する割合)</t>
    <rPh sb="5" eb="7">
      <t>ジッシツ</t>
    </rPh>
    <rPh sb="7" eb="8">
      <t>シツ</t>
    </rPh>
    <rPh sb="8" eb="10">
      <t>カカク</t>
    </rPh>
    <rPh sb="12" eb="14">
      <t>サイシン</t>
    </rPh>
    <rPh sb="14" eb="16">
      <t>ジッシツ</t>
    </rPh>
    <rPh sb="16" eb="18">
      <t>カカク</t>
    </rPh>
    <rPh sb="19" eb="20">
      <t>タイ</t>
    </rPh>
    <rPh sb="22" eb="24">
      <t>ワリアイ</t>
    </rPh>
    <phoneticPr fontId="1"/>
  </si>
  <si>
    <t>30日平均
実質質価格
(最新実質価格に対する割合)</t>
    <rPh sb="6" eb="8">
      <t>ジッシツ</t>
    </rPh>
    <rPh sb="8" eb="9">
      <t>シツ</t>
    </rPh>
    <rPh sb="9" eb="11">
      <t>カカク</t>
    </rPh>
    <rPh sb="13" eb="15">
      <t>サイシン</t>
    </rPh>
    <rPh sb="15" eb="17">
      <t>ジッシツ</t>
    </rPh>
    <rPh sb="17" eb="19">
      <t>カカク</t>
    </rPh>
    <rPh sb="20" eb="21">
      <t>タイ</t>
    </rPh>
    <rPh sb="23" eb="25">
      <t>ワリアイ</t>
    </rPh>
    <phoneticPr fontId="1"/>
  </si>
  <si>
    <t>90日平均
実質質価格
(最新実質価格に対する割合)</t>
    <rPh sb="6" eb="8">
      <t>ジッシツ</t>
    </rPh>
    <rPh sb="8" eb="9">
      <t>シツ</t>
    </rPh>
    <rPh sb="9" eb="11">
      <t>カカク</t>
    </rPh>
    <rPh sb="13" eb="15">
      <t>サイシン</t>
    </rPh>
    <rPh sb="15" eb="17">
      <t>ジッシツ</t>
    </rPh>
    <rPh sb="17" eb="19">
      <t>カカク</t>
    </rPh>
    <rPh sb="20" eb="21">
      <t>タイ</t>
    </rPh>
    <rPh sb="23" eb="25">
      <t>ワリアイ</t>
    </rPh>
    <phoneticPr fontId="1"/>
  </si>
  <si>
    <t>180日平均
実質質価格
(最新実質価格に対する割合)</t>
    <rPh sb="7" eb="9">
      <t>ジッシツ</t>
    </rPh>
    <rPh sb="9" eb="10">
      <t>シツ</t>
    </rPh>
    <rPh sb="10" eb="12">
      <t>カカク</t>
    </rPh>
    <rPh sb="14" eb="16">
      <t>サイシン</t>
    </rPh>
    <rPh sb="16" eb="18">
      <t>ジッシツ</t>
    </rPh>
    <rPh sb="18" eb="20">
      <t>カカク</t>
    </rPh>
    <rPh sb="21" eb="22">
      <t>タイ</t>
    </rPh>
    <rPh sb="24" eb="26">
      <t>ワリアイ</t>
    </rPh>
    <phoneticPr fontId="1"/>
  </si>
  <si>
    <r>
      <t xml:space="preserve">\1150
</t>
    </r>
    <r>
      <rPr>
        <sz val="11"/>
        <color rgb="FF0000FF"/>
        <rFont val="游ゴシック"/>
        <family val="3"/>
        <charset val="128"/>
      </rPr>
      <t>(+15)</t>
    </r>
    <phoneticPr fontId="1"/>
  </si>
  <si>
    <r>
      <t xml:space="preserve">\4000
</t>
    </r>
    <r>
      <rPr>
        <sz val="11"/>
        <color rgb="FF0000FF"/>
        <rFont val="游ゴシック"/>
        <family val="3"/>
        <charset val="128"/>
      </rPr>
      <t>(+400)</t>
    </r>
    <phoneticPr fontId="1"/>
  </si>
  <si>
    <r>
      <t xml:space="preserve">\900
</t>
    </r>
    <r>
      <rPr>
        <sz val="11"/>
        <color rgb="FFFF0000"/>
        <rFont val="游ゴシック"/>
        <family val="3"/>
        <charset val="128"/>
      </rPr>
      <t>(-10)</t>
    </r>
    <phoneticPr fontId="1"/>
  </si>
  <si>
    <r>
      <t xml:space="preserve">\400
</t>
    </r>
    <r>
      <rPr>
        <sz val="11"/>
        <color rgb="FFFF0000"/>
        <rFont val="游ゴシック"/>
        <family val="3"/>
        <charset val="128"/>
      </rPr>
      <t>(-60)</t>
    </r>
    <phoneticPr fontId="1"/>
  </si>
  <si>
    <t>最新取得日時</t>
    <rPh sb="0" eb="2">
      <t>サイシン</t>
    </rPh>
    <rPh sb="2" eb="4">
      <t>シュトク</t>
    </rPh>
    <rPh sb="4" eb="6">
      <t>ニチジ</t>
    </rPh>
    <phoneticPr fontId="1"/>
  </si>
  <si>
    <t>登録日時</t>
    <rPh sb="0" eb="2">
      <t>トウロク</t>
    </rPh>
    <rPh sb="2" eb="4">
      <t>ニチジ</t>
    </rPh>
    <phoneticPr fontId="1"/>
  </si>
  <si>
    <t>2026/4/19
17:46:01</t>
    <phoneticPr fontId="1"/>
  </si>
  <si>
    <t>2026/4/20
1:17:24</t>
    <phoneticPr fontId="1"/>
  </si>
  <si>
    <t>グループ</t>
    <phoneticPr fontId="1"/>
  </si>
  <si>
    <t>一括
ﾁｪｯｸ</t>
    <rPh sb="0" eb="2">
      <t>イッカツ</t>
    </rPh>
    <phoneticPr fontId="1"/>
  </si>
  <si>
    <t>☑</t>
    <phoneticPr fontId="1"/>
  </si>
  <si>
    <t>□</t>
    <phoneticPr fontId="1"/>
  </si>
  <si>
    <t>No.1 260104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</si>
</sst>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rgb="FF1F1F1F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0000FF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1"/>
      <color theme="1"/>
      <name val="Segoe UI Symbol"/>
      <family val="3"/>
    </font>
    <font>
      <sz val="9"/>
      <color theme="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6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14</xdr:row>
      <xdr:rowOff>161925</xdr:rowOff>
    </xdr:from>
    <xdr:to>
      <xdr:col>11</xdr:col>
      <xdr:colOff>3314700</xdr:colOff>
      <xdr:row>14</xdr:row>
      <xdr:rowOff>1403985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FFB243F-85F0-2434-F656-2A46347B3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1352550"/>
          <a:ext cx="310515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171451</xdr:colOff>
      <xdr:row>14</xdr:row>
      <xdr:rowOff>104775</xdr:rowOff>
    </xdr:from>
    <xdr:ext cx="1055386" cy="1238250"/>
    <xdr:pic>
      <xdr:nvPicPr>
        <xdr:cNvPr id="9" name="図 8">
          <a:extLst>
            <a:ext uri="{FF2B5EF4-FFF2-40B4-BE49-F238E27FC236}">
              <a16:creationId xmlns:a16="http://schemas.microsoft.com/office/drawing/2014/main" id="{67FC091A-D208-44B1-BD34-F5C65E672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1" y="1533525"/>
          <a:ext cx="1055386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133350</xdr:colOff>
      <xdr:row>15</xdr:row>
      <xdr:rowOff>161925</xdr:rowOff>
    </xdr:from>
    <xdr:ext cx="3105150" cy="1242060"/>
    <xdr:pic>
      <xdr:nvPicPr>
        <xdr:cNvPr id="10" name="図 9">
          <a:extLst>
            <a:ext uri="{FF2B5EF4-FFF2-40B4-BE49-F238E27FC236}">
              <a16:creationId xmlns:a16="http://schemas.microsoft.com/office/drawing/2014/main" id="{1D7E4D07-88AE-4B7D-8572-D7DE17D6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3295650"/>
          <a:ext cx="310515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95250</xdr:colOff>
      <xdr:row>15</xdr:row>
      <xdr:rowOff>190500</xdr:rowOff>
    </xdr:from>
    <xdr:ext cx="1055386" cy="1238250"/>
    <xdr:pic>
      <xdr:nvPicPr>
        <xdr:cNvPr id="11" name="図 10">
          <a:extLst>
            <a:ext uri="{FF2B5EF4-FFF2-40B4-BE49-F238E27FC236}">
              <a16:creationId xmlns:a16="http://schemas.microsoft.com/office/drawing/2014/main" id="{610893B8-8B05-4B82-88B2-BE949251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3324225"/>
          <a:ext cx="1055386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285750</xdr:colOff>
      <xdr:row>12</xdr:row>
      <xdr:rowOff>133350</xdr:rowOff>
    </xdr:from>
    <xdr:to>
      <xdr:col>5</xdr:col>
      <xdr:colOff>323850</xdr:colOff>
      <xdr:row>14</xdr:row>
      <xdr:rowOff>371475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145F484-1860-367C-8D41-4B7251688D8C}"/>
            </a:ext>
          </a:extLst>
        </xdr:cNvPr>
        <xdr:cNvCxnSpPr/>
      </xdr:nvCxnSpPr>
      <xdr:spPr>
        <a:xfrm flipH="1">
          <a:off x="2971800" y="2514600"/>
          <a:ext cx="666750" cy="14287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19050</xdr:colOff>
      <xdr:row>11</xdr:row>
      <xdr:rowOff>123825</xdr:rowOff>
    </xdr:from>
    <xdr:ext cx="6556923" cy="32842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3E88899-713B-DABE-542C-8400D327BC9B}"/>
            </a:ext>
          </a:extLst>
        </xdr:cNvPr>
        <xdr:cNvSpPr txBox="1"/>
      </xdr:nvSpPr>
      <xdr:spPr>
        <a:xfrm>
          <a:off x="2647950" y="361950"/>
          <a:ext cx="6556923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ここでウィンドウ枠を固定（つまり列名を列ヘッダー、</a:t>
          </a:r>
          <a:r>
            <a:rPr kumimoji="1" lang="en-US" altLang="ja-JP" sz="1100"/>
            <a:t>No</a:t>
          </a:r>
          <a:r>
            <a:rPr kumimoji="1" lang="ja-JP" altLang="en-US" sz="1100"/>
            <a:t>と最新取得日時までを行ヘッダーとする）</a:t>
          </a:r>
        </a:p>
      </xdr:txBody>
    </xdr:sp>
    <xdr:clientData/>
  </xdr:oneCellAnchor>
  <xdr:twoCellAnchor>
    <xdr:from>
      <xdr:col>1</xdr:col>
      <xdr:colOff>493059</xdr:colOff>
      <xdr:row>8</xdr:row>
      <xdr:rowOff>190500</xdr:rowOff>
    </xdr:from>
    <xdr:to>
      <xdr:col>1</xdr:col>
      <xdr:colOff>523875</xdr:colOff>
      <xdr:row>13</xdr:row>
      <xdr:rowOff>809625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D67AEC61-2159-486C-AEC2-39EE39882690}"/>
            </a:ext>
          </a:extLst>
        </xdr:cNvPr>
        <xdr:cNvCxnSpPr/>
      </xdr:nvCxnSpPr>
      <xdr:spPr>
        <a:xfrm>
          <a:off x="1176618" y="2073088"/>
          <a:ext cx="30816" cy="179574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243168</xdr:colOff>
      <xdr:row>7</xdr:row>
      <xdr:rowOff>174251</xdr:rowOff>
    </xdr:from>
    <xdr:ext cx="3147015" cy="32842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ADCB6F49-4D60-4D51-9BE0-33BEB0C8D3C5}"/>
            </a:ext>
          </a:extLst>
        </xdr:cNvPr>
        <xdr:cNvSpPr txBox="1"/>
      </xdr:nvSpPr>
      <xdr:spPr>
        <a:xfrm>
          <a:off x="926727" y="1821516"/>
          <a:ext cx="3147015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各列ごとに、昇順、降順の並び替えボタンあり</a:t>
          </a:r>
        </a:p>
      </xdr:txBody>
    </xdr:sp>
    <xdr:clientData/>
  </xdr:oneCellAnchor>
  <xdr:twoCellAnchor editAs="oneCell">
    <xdr:from>
      <xdr:col>12</xdr:col>
      <xdr:colOff>1323975</xdr:colOff>
      <xdr:row>5</xdr:row>
      <xdr:rowOff>38100</xdr:rowOff>
    </xdr:from>
    <xdr:to>
      <xdr:col>12</xdr:col>
      <xdr:colOff>2454789</xdr:colOff>
      <xdr:row>9</xdr:row>
      <xdr:rowOff>200025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9A93ACE-0E81-0E7D-75D4-9673E8333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16050" y="752475"/>
          <a:ext cx="1130814" cy="1114425"/>
        </a:xfrm>
        <a:prstGeom prst="rect">
          <a:avLst/>
        </a:prstGeom>
      </xdr:spPr>
    </xdr:pic>
    <xdr:clientData/>
  </xdr:twoCellAnchor>
  <xdr:twoCellAnchor>
    <xdr:from>
      <xdr:col>12</xdr:col>
      <xdr:colOff>2000250</xdr:colOff>
      <xdr:row>3</xdr:row>
      <xdr:rowOff>142875</xdr:rowOff>
    </xdr:from>
    <xdr:to>
      <xdr:col>12</xdr:col>
      <xdr:colOff>2514600</xdr:colOff>
      <xdr:row>6</xdr:row>
      <xdr:rowOff>114300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F0132BEE-01FA-4C00-ABB3-C2D97BF5CEE8}"/>
            </a:ext>
          </a:extLst>
        </xdr:cNvPr>
        <xdr:cNvCxnSpPr/>
      </xdr:nvCxnSpPr>
      <xdr:spPr>
        <a:xfrm flipH="1">
          <a:off x="14792325" y="381000"/>
          <a:ext cx="514350" cy="6858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2117900</xdr:colOff>
      <xdr:row>2</xdr:row>
      <xdr:rowOff>95251</xdr:rowOff>
    </xdr:from>
    <xdr:to>
      <xdr:col>13</xdr:col>
      <xdr:colOff>501473</xdr:colOff>
      <xdr:row>3</xdr:row>
      <xdr:rowOff>185549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50644FC-71F1-4BEE-A4A9-E5E1F67FCBD5}"/>
            </a:ext>
          </a:extLst>
        </xdr:cNvPr>
        <xdr:cNvSpPr/>
      </xdr:nvSpPr>
      <xdr:spPr>
        <a:xfrm>
          <a:off x="14909975" y="95251"/>
          <a:ext cx="1736373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 algn="ctr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フィルタ絞り込みボタン</a:t>
          </a:r>
        </a:p>
      </xdr:txBody>
    </xdr:sp>
    <xdr:clientData/>
  </xdr:twoCellAnchor>
  <xdr:twoCellAnchor editAs="oneCell">
    <xdr:from>
      <xdr:col>1</xdr:col>
      <xdr:colOff>171450</xdr:colOff>
      <xdr:row>13</xdr:row>
      <xdr:rowOff>38100</xdr:rowOff>
    </xdr:from>
    <xdr:to>
      <xdr:col>1</xdr:col>
      <xdr:colOff>542977</xdr:colOff>
      <xdr:row>13</xdr:row>
      <xdr:rowOff>295311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780BA0B-CAE9-F634-DE80-EC849EF1D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0" y="2657475"/>
          <a:ext cx="371527" cy="257211"/>
        </a:xfrm>
        <a:prstGeom prst="rect">
          <a:avLst/>
        </a:prstGeom>
      </xdr:spPr>
    </xdr:pic>
    <xdr:clientData/>
  </xdr:twoCellAnchor>
  <xdr:twoCellAnchor>
    <xdr:from>
      <xdr:col>0</xdr:col>
      <xdr:colOff>605118</xdr:colOff>
      <xdr:row>7</xdr:row>
      <xdr:rowOff>44823</xdr:rowOff>
    </xdr:from>
    <xdr:to>
      <xdr:col>1</xdr:col>
      <xdr:colOff>352425</xdr:colOff>
      <xdr:row>13</xdr:row>
      <xdr:rowOff>123825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6CF4984-9501-4DC0-922C-9CCDE6889059}"/>
            </a:ext>
          </a:extLst>
        </xdr:cNvPr>
        <xdr:cNvCxnSpPr/>
      </xdr:nvCxnSpPr>
      <xdr:spPr>
        <a:xfrm>
          <a:off x="605118" y="1692088"/>
          <a:ext cx="430866" cy="149094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200585</xdr:colOff>
      <xdr:row>6</xdr:row>
      <xdr:rowOff>21852</xdr:rowOff>
    </xdr:from>
    <xdr:ext cx="1789016" cy="328423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32CA5088-F8E4-4E9A-BABB-804FAB8AE6E9}"/>
            </a:ext>
          </a:extLst>
        </xdr:cNvPr>
        <xdr:cNvSpPr txBox="1"/>
      </xdr:nvSpPr>
      <xdr:spPr>
        <a:xfrm>
          <a:off x="200585" y="1433793"/>
          <a:ext cx="1789016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全商品の✅入れるボタン</a:t>
          </a:r>
        </a:p>
      </xdr:txBody>
    </xdr:sp>
    <xdr:clientData/>
  </xdr:oneCellAnchor>
  <xdr:twoCellAnchor editAs="oneCell">
    <xdr:from>
      <xdr:col>2</xdr:col>
      <xdr:colOff>209550</xdr:colOff>
      <xdr:row>15</xdr:row>
      <xdr:rowOff>1047750</xdr:rowOff>
    </xdr:from>
    <xdr:to>
      <xdr:col>2</xdr:col>
      <xdr:colOff>562024</xdr:colOff>
      <xdr:row>15</xdr:row>
      <xdr:rowOff>1238277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437183DF-9A8F-8302-7702-E400F59DA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1150" y="6086475"/>
          <a:ext cx="352474" cy="1905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171450</xdr:colOff>
      <xdr:row>14</xdr:row>
      <xdr:rowOff>923925</xdr:rowOff>
    </xdr:from>
    <xdr:to>
      <xdr:col>2</xdr:col>
      <xdr:colOff>533451</xdr:colOff>
      <xdr:row>14</xdr:row>
      <xdr:rowOff>1181136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C29B0117-03D2-5077-01CF-CD4D28E2B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3050" y="4495800"/>
          <a:ext cx="362001" cy="2572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504876</xdr:colOff>
      <xdr:row>12</xdr:row>
      <xdr:rowOff>104306</xdr:rowOff>
    </xdr:from>
    <xdr:to>
      <xdr:col>3</xdr:col>
      <xdr:colOff>333796</xdr:colOff>
      <xdr:row>14</xdr:row>
      <xdr:rowOff>1052531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8051AB29-CA55-42FD-AB80-348F8CAD8FB2}"/>
            </a:ext>
          </a:extLst>
        </xdr:cNvPr>
        <xdr:cNvCxnSpPr>
          <a:stCxn id="38" idx="2"/>
        </xdr:cNvCxnSpPr>
      </xdr:nvCxnSpPr>
      <xdr:spPr>
        <a:xfrm flipH="1">
          <a:off x="1871994" y="2928188"/>
          <a:ext cx="512478" cy="213604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14</xdr:row>
      <xdr:rowOff>428625</xdr:rowOff>
    </xdr:from>
    <xdr:to>
      <xdr:col>2</xdr:col>
      <xdr:colOff>666842</xdr:colOff>
      <xdr:row>14</xdr:row>
      <xdr:rowOff>742994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54570A68-3FB8-847A-6872-9E211B2E5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1125" y="4000500"/>
          <a:ext cx="657317" cy="314369"/>
        </a:xfrm>
        <a:prstGeom prst="rect">
          <a:avLst/>
        </a:prstGeom>
      </xdr:spPr>
    </xdr:pic>
    <xdr:clientData/>
  </xdr:twoCellAnchor>
  <xdr:twoCellAnchor>
    <xdr:from>
      <xdr:col>2</xdr:col>
      <xdr:colOff>157209</xdr:colOff>
      <xdr:row>10</xdr:row>
      <xdr:rowOff>134471</xdr:rowOff>
    </xdr:from>
    <xdr:to>
      <xdr:col>2</xdr:col>
      <xdr:colOff>179294</xdr:colOff>
      <xdr:row>14</xdr:row>
      <xdr:rowOff>542925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9F4D5247-C9F4-449F-A334-7B13F2F7087A}"/>
            </a:ext>
          </a:extLst>
        </xdr:cNvPr>
        <xdr:cNvCxnSpPr/>
      </xdr:nvCxnSpPr>
      <xdr:spPr>
        <a:xfrm flipH="1">
          <a:off x="1524327" y="2487706"/>
          <a:ext cx="22085" cy="20669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20170</xdr:colOff>
      <xdr:row>9</xdr:row>
      <xdr:rowOff>78441</xdr:rowOff>
    </xdr:from>
    <xdr:ext cx="1704975" cy="328423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DF09441E-F2A9-4CCC-B631-6136A66DA466}"/>
            </a:ext>
          </a:extLst>
        </xdr:cNvPr>
        <xdr:cNvSpPr txBox="1"/>
      </xdr:nvSpPr>
      <xdr:spPr>
        <a:xfrm>
          <a:off x="1387288" y="2196353"/>
          <a:ext cx="1704975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URL</a:t>
          </a:r>
          <a:r>
            <a:rPr kumimoji="1" lang="ja-JP" altLang="en-US" sz="1100"/>
            <a:t>サイト起動ボタン</a:t>
          </a:r>
        </a:p>
      </xdr:txBody>
    </xdr:sp>
    <xdr:clientData/>
  </xdr:oneCellAnchor>
  <xdr:twoCellAnchor editAs="oneCell">
    <xdr:from>
      <xdr:col>2</xdr:col>
      <xdr:colOff>9525</xdr:colOff>
      <xdr:row>15</xdr:row>
      <xdr:rowOff>228600</xdr:rowOff>
    </xdr:from>
    <xdr:to>
      <xdr:col>2</xdr:col>
      <xdr:colOff>666842</xdr:colOff>
      <xdr:row>15</xdr:row>
      <xdr:rowOff>542969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A1ED1D48-2FCD-45A0-B129-FAD171B16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1125" y="5267325"/>
          <a:ext cx="657317" cy="314369"/>
        </a:xfrm>
        <a:prstGeom prst="rect">
          <a:avLst/>
        </a:prstGeom>
      </xdr:spPr>
    </xdr:pic>
    <xdr:clientData/>
  </xdr:twoCellAnchor>
  <xdr:twoCellAnchor>
    <xdr:from>
      <xdr:col>2</xdr:col>
      <xdr:colOff>504825</xdr:colOff>
      <xdr:row>10</xdr:row>
      <xdr:rowOff>134471</xdr:rowOff>
    </xdr:from>
    <xdr:to>
      <xdr:col>4</xdr:col>
      <xdr:colOff>437030</xdr:colOff>
      <xdr:row>15</xdr:row>
      <xdr:rowOff>1038225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8BBFAD1E-132A-4224-B3D1-27DE4B366E53}"/>
            </a:ext>
          </a:extLst>
        </xdr:cNvPr>
        <xdr:cNvCxnSpPr/>
      </xdr:nvCxnSpPr>
      <xdr:spPr>
        <a:xfrm flipH="1">
          <a:off x="1871943" y="2017059"/>
          <a:ext cx="1411381" cy="403019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351864</xdr:colOff>
      <xdr:row>9</xdr:row>
      <xdr:rowOff>149038</xdr:rowOff>
    </xdr:from>
    <xdr:ext cx="5324476" cy="328423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1561AD3F-7830-4C8E-B83E-9361D47B0077}"/>
            </a:ext>
          </a:extLst>
        </xdr:cNvPr>
        <xdr:cNvSpPr txBox="1"/>
      </xdr:nvSpPr>
      <xdr:spPr>
        <a:xfrm>
          <a:off x="3198158" y="1796303"/>
          <a:ext cx="5324476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グループ登録済みの場合は、上にグループ名、下にグループ変更ボタンを配置</a:t>
          </a:r>
        </a:p>
      </xdr:txBody>
    </xdr:sp>
    <xdr:clientData/>
  </xdr:oneCellAnchor>
  <xdr:twoCellAnchor>
    <xdr:from>
      <xdr:col>4</xdr:col>
      <xdr:colOff>694764</xdr:colOff>
      <xdr:row>2</xdr:row>
      <xdr:rowOff>12979</xdr:rowOff>
    </xdr:from>
    <xdr:to>
      <xdr:col>5</xdr:col>
      <xdr:colOff>1179974</xdr:colOff>
      <xdr:row>3</xdr:row>
      <xdr:rowOff>164727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2F77D8CF-500E-4BC1-B425-F25311E88E4E}"/>
            </a:ext>
          </a:extLst>
        </xdr:cNvPr>
        <xdr:cNvCxnSpPr>
          <a:stCxn id="60" idx="2"/>
        </xdr:cNvCxnSpPr>
      </xdr:nvCxnSpPr>
      <xdr:spPr>
        <a:xfrm flipH="1">
          <a:off x="3541058" y="483626"/>
          <a:ext cx="1247210" cy="38707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118210</xdr:colOff>
      <xdr:row>0</xdr:row>
      <xdr:rowOff>158004</xdr:rowOff>
    </xdr:from>
    <xdr:to>
      <xdr:col>6</xdr:col>
      <xdr:colOff>773766</xdr:colOff>
      <xdr:row>2</xdr:row>
      <xdr:rowOff>12979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8C30FE1-A389-4630-9920-82E1B70BCA29}"/>
            </a:ext>
          </a:extLst>
        </xdr:cNvPr>
        <xdr:cNvSpPr/>
      </xdr:nvSpPr>
      <xdr:spPr>
        <a:xfrm>
          <a:off x="3726504" y="158004"/>
          <a:ext cx="2123527" cy="32562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✅した商品の一括操作枠</a:t>
          </a:r>
        </a:p>
      </xdr:txBody>
    </xdr:sp>
    <xdr:clientData/>
  </xdr:twoCellAnchor>
  <xdr:twoCellAnchor editAs="oneCell">
    <xdr:from>
      <xdr:col>9</xdr:col>
      <xdr:colOff>238125</xdr:colOff>
      <xdr:row>5</xdr:row>
      <xdr:rowOff>114300</xdr:rowOff>
    </xdr:from>
    <xdr:to>
      <xdr:col>11</xdr:col>
      <xdr:colOff>1667232</xdr:colOff>
      <xdr:row>8</xdr:row>
      <xdr:rowOff>209663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446A80A1-34E2-6D03-25A8-170BE0BA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77225" y="828675"/>
          <a:ext cx="2562583" cy="809738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3</xdr:row>
      <xdr:rowOff>228600</xdr:rowOff>
    </xdr:from>
    <xdr:to>
      <xdr:col>11</xdr:col>
      <xdr:colOff>704850</xdr:colOff>
      <xdr:row>6</xdr:row>
      <xdr:rowOff>200025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CAA456E9-729D-41DF-AC5B-433F2DAF3AC6}"/>
            </a:ext>
          </a:extLst>
        </xdr:cNvPr>
        <xdr:cNvCxnSpPr/>
      </xdr:nvCxnSpPr>
      <xdr:spPr>
        <a:xfrm flipH="1">
          <a:off x="9363075" y="466725"/>
          <a:ext cx="514350" cy="6858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651051</xdr:colOff>
      <xdr:row>2</xdr:row>
      <xdr:rowOff>171451</xdr:rowOff>
    </xdr:from>
    <xdr:to>
      <xdr:col>11</xdr:col>
      <xdr:colOff>1699847</xdr:colOff>
      <xdr:row>4</xdr:row>
      <xdr:rowOff>23624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948AAE9-C32E-4577-A732-F81AF4DC78F4}"/>
            </a:ext>
          </a:extLst>
        </xdr:cNvPr>
        <xdr:cNvSpPr/>
      </xdr:nvSpPr>
      <xdr:spPr>
        <a:xfrm>
          <a:off x="9839013" y="171451"/>
          <a:ext cx="1048796" cy="3357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監視全商品</a:t>
          </a:r>
        </a:p>
      </xdr:txBody>
    </xdr:sp>
    <xdr:clientData/>
  </xdr:twoCellAnchor>
  <xdr:twoCellAnchor editAs="oneCell">
    <xdr:from>
      <xdr:col>11</xdr:col>
      <xdr:colOff>3472961</xdr:colOff>
      <xdr:row>2</xdr:row>
      <xdr:rowOff>0</xdr:rowOff>
    </xdr:from>
    <xdr:to>
      <xdr:col>12</xdr:col>
      <xdr:colOff>630115</xdr:colOff>
      <xdr:row>11</xdr:row>
      <xdr:rowOff>144445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3A471C2C-9C3D-4C6E-5056-D7BE1EDFF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032" t="-1" r="8031" b="1238"/>
        <a:stretch>
          <a:fillRect/>
        </a:stretch>
      </xdr:blipFill>
      <xdr:spPr>
        <a:xfrm>
          <a:off x="12660923" y="0"/>
          <a:ext cx="776654" cy="2320541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11</xdr:col>
      <xdr:colOff>1422155</xdr:colOff>
      <xdr:row>3</xdr:row>
      <xdr:rowOff>153866</xdr:rowOff>
    </xdr:from>
    <xdr:to>
      <xdr:col>11</xdr:col>
      <xdr:colOff>3458307</xdr:colOff>
      <xdr:row>6</xdr:row>
      <xdr:rowOff>129686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942552CC-A85B-46F2-99BC-5D3A0F8D5DFD}"/>
            </a:ext>
          </a:extLst>
        </xdr:cNvPr>
        <xdr:cNvCxnSpPr/>
      </xdr:nvCxnSpPr>
      <xdr:spPr>
        <a:xfrm flipV="1">
          <a:off x="10610117" y="395654"/>
          <a:ext cx="2036152" cy="70118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2268836</xdr:colOff>
      <xdr:row>2</xdr:row>
      <xdr:rowOff>1467</xdr:rowOff>
    </xdr:from>
    <xdr:to>
      <xdr:col>11</xdr:col>
      <xdr:colOff>3231173</xdr:colOff>
      <xdr:row>6</xdr:row>
      <xdr:rowOff>156928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FA67DD12-40A9-44EE-942E-005EE0D7B8F9}"/>
            </a:ext>
          </a:extLst>
        </xdr:cNvPr>
        <xdr:cNvSpPr/>
      </xdr:nvSpPr>
      <xdr:spPr>
        <a:xfrm>
          <a:off x="11456798" y="1467"/>
          <a:ext cx="962337" cy="112261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クリックすると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20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グループが表示され、選択すればグループ登録されている商品のみを表示</a:t>
          </a:r>
        </a:p>
      </xdr:txBody>
    </xdr:sp>
    <xdr:clientData/>
  </xdr:twoCellAnchor>
  <xdr:twoCellAnchor>
    <xdr:from>
      <xdr:col>11</xdr:col>
      <xdr:colOff>1325439</xdr:colOff>
      <xdr:row>7</xdr:row>
      <xdr:rowOff>150201</xdr:rowOff>
    </xdr:from>
    <xdr:to>
      <xdr:col>11</xdr:col>
      <xdr:colOff>2142449</xdr:colOff>
      <xdr:row>10</xdr:row>
      <xdr:rowOff>76064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C1F9F8E-8CB6-4C67-8499-4EF4EE9D065E}"/>
            </a:ext>
          </a:extLst>
        </xdr:cNvPr>
        <xdr:cNvCxnSpPr>
          <a:endCxn id="71" idx="1"/>
        </xdr:cNvCxnSpPr>
      </xdr:nvCxnSpPr>
      <xdr:spPr>
        <a:xfrm>
          <a:off x="10513401" y="1359143"/>
          <a:ext cx="817010" cy="65122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2142449</xdr:colOff>
      <xdr:row>7</xdr:row>
      <xdr:rowOff>211405</xdr:rowOff>
    </xdr:from>
    <xdr:to>
      <xdr:col>11</xdr:col>
      <xdr:colOff>3172558</xdr:colOff>
      <xdr:row>12</xdr:row>
      <xdr:rowOff>182512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11668598-F583-DE58-EA77-965D220D4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30411" y="1420347"/>
          <a:ext cx="1030109" cy="118005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11</xdr:col>
      <xdr:colOff>977832</xdr:colOff>
      <xdr:row>8</xdr:row>
      <xdr:rowOff>219809</xdr:rowOff>
    </xdr:from>
    <xdr:to>
      <xdr:col>11</xdr:col>
      <xdr:colOff>1940169</xdr:colOff>
      <xdr:row>12</xdr:row>
      <xdr:rowOff>203556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25BBA1B-C5A7-44D6-B91A-A2CAF5BDA522}"/>
            </a:ext>
          </a:extLst>
        </xdr:cNvPr>
        <xdr:cNvSpPr/>
      </xdr:nvSpPr>
      <xdr:spPr>
        <a:xfrm>
          <a:off x="10165794" y="1670540"/>
          <a:ext cx="962337" cy="95090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クリックすると</a:t>
          </a:r>
          <a:r>
            <a:rPr kumimoji="1" lang="en-US" altLang="ja-JP" sz="800">
              <a:solidFill>
                <a:schemeClr val="tx1"/>
              </a:solidFill>
              <a:latin typeface="+mn-lt"/>
              <a:ea typeface="+mn-ea"/>
              <a:cs typeface="+mn-cs"/>
            </a:rPr>
            <a:t>20</a:t>
          </a:r>
          <a:r>
            <a:rPr kumimoji="1" lang="ja-JP" alt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t>グループのグループ名を変更できる画面が立ち上がる</a:t>
          </a:r>
        </a:p>
      </xdr:txBody>
    </xdr:sp>
    <xdr:clientData/>
  </xdr:twoCellAnchor>
  <xdr:twoCellAnchor editAs="oneCell">
    <xdr:from>
      <xdr:col>0</xdr:col>
      <xdr:colOff>22411</xdr:colOff>
      <xdr:row>0</xdr:row>
      <xdr:rowOff>145677</xdr:rowOff>
    </xdr:from>
    <xdr:to>
      <xdr:col>4</xdr:col>
      <xdr:colOff>717736</xdr:colOff>
      <xdr:row>5</xdr:row>
      <xdr:rowOff>212352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D5746CC5-C828-2C3C-F827-2FF8BCAA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" y="145677"/>
          <a:ext cx="3541619" cy="1243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290232</xdr:colOff>
      <xdr:row>11</xdr:row>
      <xdr:rowOff>11206</xdr:rowOff>
    </xdr:from>
    <xdr:ext cx="1454244" cy="32842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6C70FD1D-639B-4782-8D81-8C28185AB384}"/>
            </a:ext>
          </a:extLst>
        </xdr:cNvPr>
        <xdr:cNvSpPr txBox="1"/>
      </xdr:nvSpPr>
      <xdr:spPr>
        <a:xfrm>
          <a:off x="1657350" y="2599765"/>
          <a:ext cx="1454244" cy="32842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グループ登録ボタン</a:t>
          </a:r>
        </a:p>
      </xdr:txBody>
    </xdr:sp>
    <xdr:clientData/>
  </xdr:oneCellAnchor>
  <xdr:twoCellAnchor>
    <xdr:from>
      <xdr:col>12</xdr:col>
      <xdr:colOff>2767853</xdr:colOff>
      <xdr:row>5</xdr:row>
      <xdr:rowOff>78441</xdr:rowOff>
    </xdr:from>
    <xdr:to>
      <xdr:col>14</xdr:col>
      <xdr:colOff>403411</xdr:colOff>
      <xdr:row>9</xdr:row>
      <xdr:rowOff>179295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819D393F-FB01-49F1-2761-AAC16CD630B5}"/>
            </a:ext>
          </a:extLst>
        </xdr:cNvPr>
        <xdr:cNvSpPr/>
      </xdr:nvSpPr>
      <xdr:spPr>
        <a:xfrm>
          <a:off x="15856324" y="1255059"/>
          <a:ext cx="1770528" cy="1042148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chemeClr val="tx1"/>
              </a:solidFill>
            </a:rPr>
            <a:t>通知設定</a:t>
          </a:r>
        </a:p>
      </xdr:txBody>
    </xdr:sp>
    <xdr:clientData/>
  </xdr:twoCellAnchor>
  <xdr:twoCellAnchor>
    <xdr:from>
      <xdr:col>14</xdr:col>
      <xdr:colOff>544607</xdr:colOff>
      <xdr:row>5</xdr:row>
      <xdr:rowOff>107576</xdr:rowOff>
    </xdr:from>
    <xdr:to>
      <xdr:col>16</xdr:col>
      <xdr:colOff>190500</xdr:colOff>
      <xdr:row>9</xdr:row>
      <xdr:rowOff>208430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183E20-A13B-42A3-82D5-C20FCF4AAA36}"/>
            </a:ext>
          </a:extLst>
        </xdr:cNvPr>
        <xdr:cNvSpPr/>
      </xdr:nvSpPr>
      <xdr:spPr>
        <a:xfrm>
          <a:off x="17768048" y="1284194"/>
          <a:ext cx="1573305" cy="1042148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chemeClr val="bg1"/>
              </a:solidFill>
            </a:rPr>
            <a:t>自動メンテナンス設定</a:t>
          </a:r>
        </a:p>
      </xdr:txBody>
    </xdr:sp>
    <xdr:clientData/>
  </xdr:twoCellAnchor>
  <xdr:twoCellAnchor editAs="oneCell">
    <xdr:from>
      <xdr:col>18</xdr:col>
      <xdr:colOff>269360</xdr:colOff>
      <xdr:row>0</xdr:row>
      <xdr:rowOff>0</xdr:rowOff>
    </xdr:from>
    <xdr:to>
      <xdr:col>21</xdr:col>
      <xdr:colOff>284629</xdr:colOff>
      <xdr:row>2</xdr:row>
      <xdr:rowOff>56029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4A211EAA-A1D2-3E09-C32C-A955F78B9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8978" y="0"/>
          <a:ext cx="3567533" cy="526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369795</xdr:colOff>
      <xdr:row>5</xdr:row>
      <xdr:rowOff>134470</xdr:rowOff>
    </xdr:from>
    <xdr:to>
      <xdr:col>17</xdr:col>
      <xdr:colOff>833718</xdr:colOff>
      <xdr:row>10</xdr:row>
      <xdr:rowOff>1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DE3B5AD-BD72-48E6-8B13-8FEEDB9A1FA5}"/>
            </a:ext>
          </a:extLst>
        </xdr:cNvPr>
        <xdr:cNvSpPr/>
      </xdr:nvSpPr>
      <xdr:spPr>
        <a:xfrm>
          <a:off x="19520648" y="1311088"/>
          <a:ext cx="1573305" cy="1042148"/>
        </a:xfrm>
        <a:prstGeom prst="rec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chemeClr val="bg1"/>
              </a:solidFill>
            </a:rPr>
            <a:t>ゴミ箱商品閲覧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U19"/>
  <sheetViews>
    <sheetView tabSelected="1" zoomScale="55" zoomScaleNormal="55" workbookViewId="0">
      <pane xSplit="4" ySplit="14" topLeftCell="E15" activePane="bottomRight" state="frozen"/>
      <selection pane="topRight" activeCell="D1" sqref="D1"/>
      <selection pane="bottomLeft" activeCell="A5" sqref="A5"/>
      <selection pane="bottomRight" activeCell="T9" sqref="T9"/>
    </sheetView>
  </sheetViews>
  <sheetFormatPr defaultRowHeight="18.75"/>
  <cols>
    <col min="1" max="3" width="9" style="2"/>
    <col min="4" max="4" width="10.5" style="16" customWidth="1"/>
    <col min="5" max="5" width="10" style="16" customWidth="1"/>
    <col min="6" max="6" width="19.25" style="2" customWidth="1"/>
    <col min="7" max="7" width="21.875" style="2" customWidth="1"/>
    <col min="8" max="8" width="13.875" style="2" bestFit="1" customWidth="1"/>
    <col min="9" max="9" width="7" style="2" customWidth="1"/>
    <col min="10" max="10" width="9" style="2"/>
    <col min="11" max="11" width="5.875" style="2" customWidth="1"/>
    <col min="12" max="12" width="47.5" style="2" customWidth="1"/>
    <col min="13" max="13" width="44" style="2" customWidth="1"/>
    <col min="14" max="14" width="10.25" style="2" customWidth="1"/>
    <col min="15" max="15" width="9" style="2" bestFit="1" customWidth="1"/>
    <col min="16" max="16" width="16.25" style="2" customWidth="1"/>
    <col min="17" max="17" width="14.625" style="2" customWidth="1"/>
    <col min="18" max="18" width="14.5" style="2" customWidth="1"/>
    <col min="19" max="19" width="16.25" style="2" customWidth="1"/>
    <col min="20" max="20" width="15" style="2" customWidth="1"/>
    <col min="21" max="21" width="15.25" style="2" customWidth="1"/>
    <col min="22" max="16384" width="9" style="2"/>
  </cols>
  <sheetData>
    <row r="14" spans="2:21" s="11" customFormat="1" ht="75">
      <c r="B14" s="17" t="s">
        <v>31</v>
      </c>
      <c r="C14" s="17" t="s">
        <v>30</v>
      </c>
      <c r="D14" s="18" t="s">
        <v>26</v>
      </c>
      <c r="E14" s="13" t="s">
        <v>27</v>
      </c>
      <c r="F14" s="5" t="s">
        <v>13</v>
      </c>
      <c r="G14" s="5" t="s">
        <v>0</v>
      </c>
      <c r="H14" s="5" t="s">
        <v>3</v>
      </c>
      <c r="I14" s="5" t="s">
        <v>7</v>
      </c>
      <c r="J14" s="5" t="s">
        <v>10</v>
      </c>
      <c r="K14" s="5" t="s">
        <v>6</v>
      </c>
      <c r="L14" s="10" t="s">
        <v>12</v>
      </c>
      <c r="M14" s="10" t="s">
        <v>14</v>
      </c>
      <c r="N14" s="5" t="s">
        <v>11</v>
      </c>
      <c r="O14" s="5" t="s">
        <v>1</v>
      </c>
      <c r="P14" s="5" t="s">
        <v>15</v>
      </c>
      <c r="Q14" s="5" t="s">
        <v>17</v>
      </c>
      <c r="R14" s="5" t="s">
        <v>18</v>
      </c>
      <c r="S14" s="5" t="s">
        <v>19</v>
      </c>
      <c r="T14" s="5" t="s">
        <v>20</v>
      </c>
      <c r="U14" s="5" t="s">
        <v>21</v>
      </c>
    </row>
    <row r="15" spans="2:21" ht="115.5" customHeight="1">
      <c r="B15" s="19" t="s">
        <v>32</v>
      </c>
      <c r="C15" s="1"/>
      <c r="D15" s="14" t="s">
        <v>28</v>
      </c>
      <c r="E15" s="14" t="s">
        <v>29</v>
      </c>
      <c r="F15" s="4" t="s">
        <v>5</v>
      </c>
      <c r="G15" s="12" t="s">
        <v>2</v>
      </c>
      <c r="H15" s="5" t="s">
        <v>4</v>
      </c>
      <c r="I15" s="5" t="s">
        <v>8</v>
      </c>
      <c r="J15" s="4" t="s">
        <v>9</v>
      </c>
      <c r="K15" s="1">
        <v>5</v>
      </c>
      <c r="L15" s="3" t="str">
        <f>"https://graph.keepa.com/pricehistory.png?asin="&amp;H15&amp;"&amp;domain=co.jp&amp;salesrank=1&amp;amazon=1&amp;bb=1&amp;new=1&amp;used=1&amp;cAmazon=ff0000&amp;cNew=0000ff&amp;cUsed=00ff00&amp;cFont=333333&amp;cBackground=ffffff&amp;range=90"</f>
        <v>https://graph.keepa.com/pricehistory.png?asin=B0CDWRJ32Q&amp;domain=co.jp&amp;salesrank=1&amp;amazon=1&amp;bb=1&amp;new=1&amp;used=1&amp;cAmazon=ff0000&amp;cNew=0000ff&amp;cUsed=00ff00&amp;cFont=333333&amp;cBackground=ffffff&amp;range=90</v>
      </c>
      <c r="M15" s="3"/>
      <c r="N15" s="6">
        <v>1100</v>
      </c>
      <c r="O15" s="7">
        <v>100</v>
      </c>
      <c r="P15" s="8">
        <f>N15-O15</f>
        <v>1000</v>
      </c>
      <c r="Q15" s="8" t="s">
        <v>22</v>
      </c>
      <c r="R15" s="8" t="s">
        <v>24</v>
      </c>
      <c r="S15" s="8" t="s">
        <v>25</v>
      </c>
      <c r="T15" s="8" t="s">
        <v>23</v>
      </c>
      <c r="U15" s="8" t="s">
        <v>16</v>
      </c>
    </row>
    <row r="16" spans="2:21" ht="118.5" customHeight="1">
      <c r="B16" s="1" t="s">
        <v>33</v>
      </c>
      <c r="C16" s="20" t="s">
        <v>34</v>
      </c>
      <c r="D16" s="15"/>
      <c r="E16" s="15"/>
      <c r="F16" s="4" t="s">
        <v>5</v>
      </c>
      <c r="G16" s="12" t="s">
        <v>2</v>
      </c>
      <c r="H16" s="5" t="s">
        <v>4</v>
      </c>
      <c r="I16" s="5" t="s">
        <v>8</v>
      </c>
      <c r="J16" s="4" t="s">
        <v>9</v>
      </c>
      <c r="K16" s="1">
        <v>5</v>
      </c>
      <c r="L16" s="3" t="str">
        <f>"https://graph.keepa.com/pricehistory.png?asin="&amp;H16&amp;"&amp;domain=co.jp&amp;salesrank=1&amp;amazon=1&amp;bb=1&amp;new=1&amp;used=1&amp;cAmazon=ff0000&amp;cNew=0000ff&amp;cUsed=00ff00&amp;cFont=333333&amp;cBackground=ffffff&amp;range=90"</f>
        <v>https://graph.keepa.com/pricehistory.png?asin=B0CDWRJ32Q&amp;domain=co.jp&amp;salesrank=1&amp;amazon=1&amp;bb=1&amp;new=1&amp;used=1&amp;cAmazon=ff0000&amp;cNew=0000ff&amp;cUsed=00ff00&amp;cFont=333333&amp;cBackground=ffffff&amp;range=90</v>
      </c>
      <c r="M16" s="3"/>
      <c r="N16" s="6">
        <v>1100</v>
      </c>
      <c r="O16" s="7">
        <v>100</v>
      </c>
      <c r="P16" s="8">
        <f>N16-O16</f>
        <v>1000</v>
      </c>
      <c r="Q16" s="8" t="s">
        <v>22</v>
      </c>
      <c r="R16" s="8" t="s">
        <v>24</v>
      </c>
      <c r="S16" s="8" t="s">
        <v>25</v>
      </c>
      <c r="T16" s="8" t="s">
        <v>23</v>
      </c>
      <c r="U16" s="8" t="s">
        <v>16</v>
      </c>
    </row>
    <row r="17" spans="2:21" ht="84" customHeight="1">
      <c r="B17" s="19" t="s">
        <v>32</v>
      </c>
      <c r="C17" s="1"/>
      <c r="D17" s="15"/>
      <c r="E17" s="15"/>
      <c r="F17" s="1"/>
      <c r="G17" s="1"/>
      <c r="H17" s="1"/>
      <c r="I17" s="1"/>
      <c r="J17" s="1"/>
      <c r="K17" s="1"/>
      <c r="L17" s="9"/>
      <c r="M17" s="9"/>
      <c r="N17" s="1"/>
      <c r="O17" s="1"/>
      <c r="P17" s="1"/>
      <c r="Q17" s="1"/>
      <c r="R17" s="1"/>
      <c r="S17" s="1"/>
      <c r="T17" s="1"/>
      <c r="U17" s="1"/>
    </row>
    <row r="18" spans="2:21" ht="84" customHeight="1">
      <c r="B18" s="1"/>
      <c r="C18" s="1"/>
      <c r="D18" s="15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ht="84" customHeight="1">
      <c r="B19" s="1"/>
      <c r="C19" s="1"/>
      <c r="D19" s="15"/>
      <c r="E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</sheetData>
  <autoFilter ref="B14:U14" xr:uid="{00000000-0001-0000-0000-000000000000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2015-06-05T18:19:34Z</dcterms:created>
  <dcterms:modified xsi:type="dcterms:W3CDTF">2026-04-25T11:59:14Z</dcterms:modified>
</cp:coreProperties>
</file>